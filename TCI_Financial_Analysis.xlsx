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Financial Ratios" sheetId="1" state="visible" r:id="rId3"/>
    <sheet name="Peer Comparison" sheetId="2" state="visible" r:id="rId4"/>
    <sheet name="Income Statement" sheetId="3" state="visible" r:id="rId5"/>
    <sheet name="Balance Sheet" sheetId="4" state="visible" r:id="rId6"/>
    <sheet name="Revenue by Service" sheetId="5" state="visible" r:id="rId7"/>
    <sheet name="Sharehold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<sst xmlns="http://schemas.openxmlformats.org/spreadsheetml/2006/main" count="214" uniqueCount="160">
  <si>
    <t xml:space="preserve">Ratio</t>
  </si>
  <si>
    <t xml:space="preserve">FY1400 (ended Mar 2022)</t>
  </si>
  <si>
    <t xml:space="preserve">FY1401 (ended Mar 2023)</t>
  </si>
  <si>
    <t xml:space="preserve">FY1402 (ended Mar 2024)</t>
  </si>
  <si>
    <t xml:space="preserve">DuPont analysis (ROE = Net income / Equity)</t>
  </si>
  <si>
    <t xml:space="preserve">Gross profit margin (TTM)</t>
  </si>
  <si>
    <t xml:space="preserve">Tracking the DuPont ratios into next year lets us estimate and forecast the trend in profitability and the growth of debt.</t>
  </si>
  <si>
    <t xml:space="preserve">Operating profit margin (TTM)</t>
  </si>
  <si>
    <t xml:space="preserve">The company has the lowest ROE among its peers, which is a clear weakness.</t>
  </si>
  <si>
    <t xml:space="preserve">Pre-tax profit margin</t>
  </si>
  <si>
    <t xml:space="preserve">Based on the DuPont analysis, the company is not an attractive investment.</t>
  </si>
  <si>
    <t xml:space="preserve">Net profit margin (TTM)</t>
  </si>
  <si>
    <t xml:space="preserve">Return on assets (ROA)</t>
  </si>
  <si>
    <t xml:space="preserve">Return on equity (ROE)</t>
  </si>
  <si>
    <t xml:space="preserve">EBIT / Total assets</t>
  </si>
  <si>
    <t xml:space="preserve">Asset turnover</t>
  </si>
  <si>
    <t xml:space="preserve">Beta calculation</t>
  </si>
  <si>
    <t xml:space="preserve">Fixed asset turnover</t>
  </si>
  <si>
    <t xml:space="preserve">Akhaber (TCI)</t>
  </si>
  <si>
    <t xml:space="preserve">Hamrah (MCI)</t>
  </si>
  <si>
    <t xml:space="preserve">Asiatech</t>
  </si>
  <si>
    <t xml:space="preserve">Receivables turnover</t>
  </si>
  <si>
    <t xml:space="preserve">1-year stock return</t>
  </si>
  <si>
    <t xml:space="preserve">Days sales outstanding (days)</t>
  </si>
  <si>
    <t xml:space="preserve">1-year market (TSE index) return</t>
  </si>
  <si>
    <t xml:space="preserve">Total liabilities / Total assets</t>
  </si>
  <si>
    <t xml:space="preserve">Risk-free rate</t>
  </si>
  <si>
    <t xml:space="preserve">Total liabilities / Equity</t>
  </si>
  <si>
    <t xml:space="preserve">Stock beta</t>
  </si>
  <si>
    <t xml:space="preserve">Debt ratio</t>
  </si>
  <si>
    <t xml:space="preserve">Debt / Equity</t>
  </si>
  <si>
    <t xml:space="preserve">Long-term debt ratio</t>
  </si>
  <si>
    <t xml:space="preserve">Break-even analysis (latest year, FY1402)</t>
  </si>
  <si>
    <t xml:space="preserve">Retained earnings / Total assets</t>
  </si>
  <si>
    <t xml:space="preserve">Operating break-even</t>
  </si>
  <si>
    <t xml:space="preserve">Interest coverage ratio</t>
  </si>
  <si>
    <t xml:space="preserve">Degree of operating leverage (DOL)</t>
  </si>
  <si>
    <t xml:space="preserve">Current ratio</t>
  </si>
  <si>
    <t xml:space="preserve">Financial break-even</t>
  </si>
  <si>
    <t xml:space="preserve">Quick ratio</t>
  </si>
  <si>
    <t xml:space="preserve">Degree of financial leverage (DFL)</t>
  </si>
  <si>
    <t xml:space="preserve">Cash ratio</t>
  </si>
  <si>
    <t xml:space="preserve">Total break-even</t>
  </si>
  <si>
    <t xml:space="preserve">Free cash flow to firm / Revenue</t>
  </si>
  <si>
    <t xml:space="preserve">Degree of total leverage (DTL)</t>
  </si>
  <si>
    <t xml:space="preserve">Free cash flow to firm / Net income</t>
  </si>
  <si>
    <t xml:space="preserve">Free cash flow to equity / Revenue</t>
  </si>
  <si>
    <t xml:space="preserve">Leverage degrees are computed from year-over-year percentage changes (FY1401 to FY1402).</t>
  </si>
  <si>
    <t xml:space="preserve">Free cash flow to equity / Net income</t>
  </si>
  <si>
    <t xml:space="preserve">Capital expenditure / Revenue</t>
  </si>
  <si>
    <t xml:space="preserve">Capital expenditure / Net income</t>
  </si>
  <si>
    <t xml:space="preserve">Operating cash flow / Revenue</t>
  </si>
  <si>
    <t xml:space="preserve">Operating cash flow / Total liabilities</t>
  </si>
  <si>
    <t xml:space="preserve">Financing cash flow / Revenue</t>
  </si>
  <si>
    <t xml:space="preserve">Investing cash flow / Revenue</t>
  </si>
  <si>
    <t xml:space="preserve">Valuation (billion IRR)</t>
  </si>
  <si>
    <t xml:space="preserve">Enterprise value</t>
  </si>
  <si>
    <t xml:space="preserve">Book value</t>
  </si>
  <si>
    <t xml:space="preserve">Operating cash flow</t>
  </si>
  <si>
    <t xml:space="preserve">Free cash flow to firm (FCFF)</t>
  </si>
  <si>
    <t xml:space="preserve">Free cash flow to equity (FCFE)</t>
  </si>
  <si>
    <t xml:space="preserve">*</t>
  </si>
  <si>
    <t xml:space="preserve">Ticker</t>
  </si>
  <si>
    <t xml:space="preserve">P/E</t>
  </si>
  <si>
    <t xml:space="preserve">P/D</t>
  </si>
  <si>
    <t xml:space="preserve">P/B</t>
  </si>
  <si>
    <t xml:space="preserve">P/S</t>
  </si>
  <si>
    <t xml:space="preserve">P/FCFE</t>
  </si>
  <si>
    <t xml:space="preserve">EPS</t>
  </si>
  <si>
    <t xml:space="preserve">P/E: Asiatech looks the most undervalued of the three. Looking further into each company's expansion plans would show whether market demand for Akhaber is justified, or whether its high P/E simply comes from its low net income.</t>
  </si>
  <si>
    <t xml:space="preserve">P/D: For an investor who values dividends, Hamrah-e Aval is the best choice, since it pays higher dividends than the other two.</t>
  </si>
  <si>
    <t xml:space="preserve">P/B: Below 1 for Akhaber. This may come from its recent large capital increase, or from the market ignoring how cheap it is. P/E suggested the opposite, but this confirms that the high P/E is due to low earnings.</t>
  </si>
  <si>
    <t xml:space="preserve">P/S: Very favourable for Hamrah and Asiatech, meaning a small change in margin has a large effect on their profitability. For Akhaber it is close to 4, which is high for this industry.</t>
  </si>
  <si>
    <t xml:space="preserve">P/FCFE: Hamrah is by far the best value thanks to its strong free cash flow. On this ratio too, Akhaber does not look like a good investment.</t>
  </si>
  <si>
    <t xml:space="preserve">EPS: Latest earnings per share. Akhaber's EPS is far lower than the other two, which clearly explains its high P/E.</t>
  </si>
  <si>
    <t xml:space="preserve">Fiscal period (million IRR)</t>
  </si>
  <si>
    <t xml:space="preserve">Operating revenue</t>
  </si>
  <si>
    <t xml:space="preserve">Cost of revenue</t>
  </si>
  <si>
    <t xml:space="preserve">Gross profit</t>
  </si>
  <si>
    <t xml:space="preserve">General &amp; administrative expenses</t>
  </si>
  <si>
    <t xml:space="preserve">Other operating income (expense), net</t>
  </si>
  <si>
    <t xml:space="preserve">Operating profit (EBIT)</t>
  </si>
  <si>
    <t xml:space="preserve">Finance costs</t>
  </si>
  <si>
    <t xml:space="preserve">Other non-operating income (expense), net</t>
  </si>
  <si>
    <t xml:space="preserve">Profit before share of associates</t>
  </si>
  <si>
    <t xml:space="preserve">Share of profit of associates</t>
  </si>
  <si>
    <t xml:space="preserve">Profit before tax (continuing operations)</t>
  </si>
  <si>
    <t xml:space="preserve">Income tax</t>
  </si>
  <si>
    <t xml:space="preserve">Net profit from continuing operations</t>
  </si>
  <si>
    <t xml:space="preserve">Net profit</t>
  </si>
  <si>
    <t xml:space="preserve">Minority interest in net profit</t>
  </si>
  <si>
    <t xml:space="preserve">Net profit attributable to owners of the parent</t>
  </si>
  <si>
    <t xml:space="preserve">Earnings per share, after tax (IRR)</t>
  </si>
  <si>
    <t xml:space="preserve">Assets</t>
  </si>
  <si>
    <t xml:space="preserve">Cash</t>
  </si>
  <si>
    <t xml:space="preserve">Short-term investments</t>
  </si>
  <si>
    <t xml:space="preserve">Inventories</t>
  </si>
  <si>
    <t xml:space="preserve">Prepayments</t>
  </si>
  <si>
    <t xml:space="preserve">Assets held for sale</t>
  </si>
  <si>
    <t xml:space="preserve">Total current assets</t>
  </si>
  <si>
    <t xml:space="preserve">Long-term trade receivables</t>
  </si>
  <si>
    <t xml:space="preserve">Long-term investments</t>
  </si>
  <si>
    <t xml:space="preserve">Property, plant &amp; equipment</t>
  </si>
  <si>
    <t xml:space="preserve">Intangible assets</t>
  </si>
  <si>
    <t xml:space="preserve">Goodwill</t>
  </si>
  <si>
    <t xml:space="preserve">Other assets</t>
  </si>
  <si>
    <t xml:space="preserve">Total non-current assets</t>
  </si>
  <si>
    <t xml:space="preserve">Total assets</t>
  </si>
  <si>
    <t xml:space="preserve">Liabilities</t>
  </si>
  <si>
    <t xml:space="preserve">Advances from customers</t>
  </si>
  <si>
    <t xml:space="preserve">Income tax provision</t>
  </si>
  <si>
    <t xml:space="preserve">Dividends payable</t>
  </si>
  <si>
    <t xml:space="preserve">Current portion of borrowings</t>
  </si>
  <si>
    <t xml:space="preserve">Total current liabilities</t>
  </si>
  <si>
    <t xml:space="preserve">Long-term payables</t>
  </si>
  <si>
    <t xml:space="preserve">Long-term borrowings</t>
  </si>
  <si>
    <t xml:space="preserve">Employee end-of-service benefits</t>
  </si>
  <si>
    <t xml:space="preserve">Total non-current liabilities</t>
  </si>
  <si>
    <t xml:space="preserve">Total liabilities</t>
  </si>
  <si>
    <t xml:space="preserve">Equity</t>
  </si>
  <si>
    <t xml:space="preserve">Share capital</t>
  </si>
  <si>
    <t xml:space="preserve">Treasury shares</t>
  </si>
  <si>
    <t xml:space="preserve">Legal reserve</t>
  </si>
  <si>
    <t xml:space="preserve">Development reserve</t>
  </si>
  <si>
    <t xml:space="preserve">Retained earnings (deficit)</t>
  </si>
  <si>
    <t xml:space="preserve">Equity attributable to owners of the parent</t>
  </si>
  <si>
    <t xml:space="preserve">-</t>
  </si>
  <si>
    <t xml:space="preserve">Minority interest</t>
  </si>
  <si>
    <t xml:space="preserve">Total equity</t>
  </si>
  <si>
    <t xml:space="preserve">Total liabilities &amp; equity</t>
  </si>
  <si>
    <t xml:space="preserve">Service (million IRR)</t>
  </si>
  <si>
    <t xml:space="preserve">Contract date</t>
  </si>
  <si>
    <t xml:space="preserve">FY1399 (ended Mar 2021)</t>
  </si>
  <si>
    <t xml:space="preserve">FY1403 (ended Mar 2025)</t>
  </si>
  <si>
    <t xml:space="preserve">Other income</t>
  </si>
  <si>
    <t xml:space="preserve">1403-01</t>
  </si>
  <si>
    <t xml:space="preserve">Telecom service usage fees</t>
  </si>
  <si>
    <t xml:space="preserve">Telecom services (voice)</t>
  </si>
  <si>
    <t xml:space="preserve">Telecom services (data)</t>
  </si>
  <si>
    <t xml:space="preserve">Other operating revenue: minimum monthly landline charge</t>
  </si>
  <si>
    <t xml:space="preserve">Maintenance &amp; contracting</t>
  </si>
  <si>
    <t xml:space="preserve">Access services</t>
  </si>
  <si>
    <t xml:space="preserve">Power &amp; space (colocation)</t>
  </si>
  <si>
    <t xml:space="preserve">Transmission line leasing</t>
  </si>
  <si>
    <t xml:space="preserve">Facilities &amp; services provided to MCI (Hamrah-e Aval)</t>
  </si>
  <si>
    <t xml:space="preserve">Use of company facilities</t>
  </si>
  <si>
    <t xml:space="preserve">After-sales services</t>
  </si>
  <si>
    <t xml:space="preserve">Other operating revenue</t>
  </si>
  <si>
    <t xml:space="preserve">Total</t>
  </si>
  <si>
    <t xml:space="preserve">Shareholder</t>
  </si>
  <si>
    <t xml:space="preserve">Number of shares</t>
  </si>
  <si>
    <t xml:space="preserve">Ownership (%)</t>
  </si>
  <si>
    <t xml:space="preserve">Tose'e Etemad Mobin Co.</t>
  </si>
  <si>
    <t xml:space="preserve">Government of Iran</t>
  </si>
  <si>
    <t xml:space="preserve">Vaset Mali Shahrivar Panjom Co.</t>
  </si>
  <si>
    <t xml:space="preserve">Mobile Communication Company of Iran (MCI)</t>
  </si>
  <si>
    <t xml:space="preserve">Tehran Province Investment Co.</t>
  </si>
  <si>
    <t xml:space="preserve">Justice Shares Co. of Khorasan Razavi Province</t>
  </si>
  <si>
    <t xml:space="preserve">Other shareholders</t>
  </si>
  <si>
    <t xml:space="preserve">100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</si>
</sst>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_(* #,##0.00_);_(* \(#,##0.00\);_(* \-??_);_(@_)"/>
    <numFmt numFmtId="167" formatCode="_(* #,##0_);_(* \(#,##0\);_(* \-??_);_(@_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0"/>
      <charset val="1"/>
    </font>
    <font>
      <sz val="12"/>
      <name val="Calibri Bold"/>
      <family val="0"/>
      <charset val="1"/>
    </font>
    <font>
      <sz val="12"/>
      <color rgb="FF333333"/>
      <name val="Calibri Bold"/>
      <family val="0"/>
      <charset val="1"/>
    </font>
    <font>
      <b val="true"/>
      <sz val="11"/>
      <color rgb="FF333333"/>
      <name val="Calibri"/>
      <family val="2"/>
      <charset val="1"/>
    </font>
    <font>
      <sz val="11"/>
      <color rgb="FF333333"/>
      <name val="Calibri"/>
      <family val="2"/>
      <charset val="1"/>
    </font>
    <font>
      <b val="true"/>
      <sz val="12"/>
      <name val="Calibri Bold"/>
      <family val="0"/>
      <charset val="1"/>
    </font>
    <font>
      <b val="true"/>
      <sz val="12"/>
      <color rgb="FF333333"/>
      <name val="Calibri Bold"/>
      <family val="0"/>
      <charset val="1"/>
    </font>
    <font>
      <sz val="11"/>
      <name val="Calibri"/>
      <family val="2"/>
      <charset val="1"/>
    </font>
    <font>
      <sz val="11"/>
      <color rgb="FF333333"/>
      <name val="Calibri Bold"/>
      <family val="0"/>
      <charset val="1"/>
    </font>
    <font>
      <sz val="11"/>
      <color rgb="FF00A9E8"/>
      <name val="Calibri Bold"/>
      <family val="0"/>
      <charset val="1"/>
    </font>
    <font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2F0D9"/>
      </patternFill>
    </fill>
    <fill>
      <patternFill patternType="solid">
        <fgColor theme="7" tint="0.3999"/>
        <bgColor rgb="FFFFE699"/>
      </patternFill>
    </fill>
    <fill>
      <patternFill patternType="solid">
        <fgColor rgb="FFF5F5F5"/>
        <bgColor rgb="FFECECEC"/>
      </patternFill>
    </fill>
    <fill>
      <patternFill patternType="solid">
        <fgColor theme="7" tint="0.5999"/>
        <bgColor rgb="FFFFD966"/>
      </patternFill>
    </fill>
    <fill>
      <patternFill patternType="solid">
        <fgColor theme="8" tint="0.5999"/>
        <bgColor rgb="FFCCCCFF"/>
      </patternFill>
    </fill>
    <fill>
      <patternFill patternType="solid">
        <fgColor theme="9"/>
        <bgColor rgb="FF339966"/>
      </patternFill>
    </fill>
    <fill>
      <patternFill patternType="solid">
        <fgColor theme="9" tint="0.7999"/>
        <bgColor rgb="FFECECEC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9" tint="0.3999"/>
      </left>
      <right/>
      <top style="thin">
        <color theme="9" tint="0.3999"/>
      </top>
      <bottom/>
      <diagonal/>
    </border>
    <border diagonalUp="false" diagonalDown="false">
      <left/>
      <right/>
      <top style="thin">
        <color theme="9" tint="0.3999"/>
      </top>
      <bottom/>
      <diagonal/>
    </border>
    <border diagonalUp="false" diagonalDown="false">
      <left/>
      <right style="thin">
        <color theme="9" tint="0.3999"/>
      </right>
      <top style="thin">
        <color theme="9" tint="0.3999"/>
      </top>
      <bottom/>
      <diagonal/>
    </border>
    <border diagonalUp="false" diagonalDown="false">
      <left style="thin">
        <color theme="9" tint="0.3999"/>
      </left>
      <right/>
      <top style="medium">
        <color rgb="FF333333"/>
      </top>
      <bottom/>
      <diagonal/>
    </border>
    <border diagonalUp="false" diagonalDown="false">
      <left/>
      <right/>
      <top style="medium">
        <color rgb="FF333333"/>
      </top>
      <bottom/>
      <diagonal/>
    </border>
    <border diagonalUp="false" diagonalDown="false">
      <left/>
      <right style="thin">
        <color theme="9" tint="0.3999"/>
      </right>
      <top style="medium">
        <color rgb="FF333333"/>
      </top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2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15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0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00A9E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ECEC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9E8"/>
      <rgbColor rgb="FFCCFFFF"/>
      <rgbColor rgb="FFE2F0D9"/>
      <rgbColor rgb="FFFFE699"/>
      <rgbColor rgb="FFA9D18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9" headerRowCount="1" totalsRowCount="1" totalsRowShown="1">
  <autoFilter ref="A1:C9"/>
  <tableColumns count="3">
    <tableColumn id="1" name="Shareholder"/>
    <tableColumn id="2" name="Number of shares" totalsRowFunction="custom"/>
    <tableColumn id="3" name="Ownership (%)"/>
  </tableColumns>
</table>
</file>

<file path=xl/tables/table2.xml><?xml version="1.0" encoding="utf-8"?>
<table xmlns="http://schemas.openxmlformats.org/spreadsheetml/2006/main" id="2" name="Table2" displayName="Table2" ref="B1:E37" headerRowCount="1" totalsRowCount="0" totalsRowShown="0">
  <autoFilter ref="B1:E37"/>
  <tableColumns count="4">
    <tableColumn id="1" name="Fiscal period (million IRR)"/>
    <tableColumn id="2" name="FY1400 (ended Mar 2022)"/>
    <tableColumn id="3" name="FY1401 (ended Mar 2023)"/>
    <tableColumn id="4" name="FY1402 (ended Mar 2024)"/>
  </tableColumns>
</table>
</file>

<file path=xl/tables/table3.xml><?xml version="1.0" encoding="utf-8"?>
<table xmlns="http://schemas.openxmlformats.org/spreadsheetml/2006/main" id="3" name="Table4" displayName="Table4" ref="B1:E18" headerRowCount="1" totalsRowCount="0" totalsRowShown="0">
  <autoFilter ref="B1:E18"/>
  <tableColumns count="4">
    <tableColumn id="1" name="Fiscal period (million IRR)"/>
    <tableColumn id="2" name="FY1400 (ended Mar 2022)"/>
    <tableColumn id="3" name="FY1401 (ended Mar 2023)"/>
    <tableColumn id="4" name="FY1402 (ended Mar 2024)"/>
  </tableColumns>
</table>
</file>

<file path=xl/tables/table4.xml><?xml version="1.0" encoding="utf-8"?>
<table xmlns="http://schemas.openxmlformats.org/spreadsheetml/2006/main" id="4" name="Table5" displayName="Table5" ref="B1:H17" headerRowCount="1" totalsRowCount="0" totalsRowShown="0">
  <autoFilter ref="B1:H17"/>
  <tableColumns count="7">
    <tableColumn id="1" name="Service (million IRR)"/>
    <tableColumn id="2" name="Contract date"/>
    <tableColumn id="3" name="FY1399 (ended Mar 2021)"/>
    <tableColumn id="4" name="FY1400 (ended Mar 2022)"/>
    <tableColumn id="5" name="FY1401 (ended Mar 2023)"/>
    <tableColumn id="6" name="FY1402 (ended Mar 2024)"/>
    <tableColumn id="7" name="FY1403 (ended Mar 2025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2" zoomScaleNormal="102" zoomScalePageLayoutView="100" workbookViewId="0">
      <selection pane="topLeft" activeCell="B1" activeCellId="0" sqref="B1"/>
    </sheetView>
  </sheetViews>
  <sheetFormatPr defaultColWidth="9.148437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42"/>
    <col collapsed="false" customWidth="true" hidden="false" outlineLevel="0" max="3" min="3" style="1" width="27.71"/>
    <col collapsed="false" customWidth="true" hidden="false" outlineLevel="0" max="5" min="4" style="1" width="24.71"/>
    <col collapsed="false" customWidth="true" hidden="false" outlineLevel="0" max="6" min="6" style="1" width="23.42"/>
    <col collapsed="false" customWidth="true" hidden="false" outlineLevel="0" max="7" min="7" style="1" width="44"/>
    <col collapsed="false" customWidth="true" hidden="false" outlineLevel="0" max="8" min="8" style="1" width="19.71"/>
    <col collapsed="false" customWidth="false" hidden="false" outlineLevel="0" max="16384" min="9" style="1" width="9.14"/>
  </cols>
  <sheetData>
    <row r="1" customFormat="false" ht="16.5" hidden="false" customHeight="true" outlineLevel="0" collapsed="false">
      <c r="B1" s="2" t="s">
        <v>0</v>
      </c>
      <c r="C1" s="3" t="s">
        <v>1</v>
      </c>
      <c r="D1" s="3" t="s">
        <v>2</v>
      </c>
      <c r="E1" s="3" t="s">
        <v>3</v>
      </c>
      <c r="G1" s="4" t="s">
        <v>4</v>
      </c>
      <c r="H1" s="5" t="n">
        <f aca="false">'Income Statement'!C15/'Balance Sheet'!C36</f>
        <v>0.248859558002991</v>
      </c>
      <c r="I1" s="5" t="n">
        <f aca="false">'Income Statement'!D15/'Balance Sheet'!D36</f>
        <v>0.282147077758267</v>
      </c>
      <c r="J1" s="5" t="n">
        <f aca="false">'Income Statement'!E15/'Balance Sheet'!E36</f>
        <v>0.413767437714906</v>
      </c>
    </row>
    <row r="2" customFormat="false" ht="15" hidden="false" customHeight="false" outlineLevel="0" collapsed="false">
      <c r="B2" s="6" t="s">
        <v>5</v>
      </c>
      <c r="C2" s="7" t="n">
        <v>0.0453295577</v>
      </c>
      <c r="D2" s="7" t="n">
        <v>0.0451390294</v>
      </c>
      <c r="E2" s="7" t="n">
        <v>0.0942990106</v>
      </c>
      <c r="G2" s="8" t="s">
        <v>6</v>
      </c>
    </row>
    <row r="3" customFormat="false" ht="15" hidden="false" customHeight="false" outlineLevel="0" collapsed="false">
      <c r="B3" s="6" t="s">
        <v>7</v>
      </c>
      <c r="C3" s="7" t="n">
        <v>-0.0854354898</v>
      </c>
      <c r="D3" s="7" t="n">
        <v>-0.0217132479</v>
      </c>
      <c r="E3" s="7" t="n">
        <v>0.1578880825</v>
      </c>
      <c r="G3" s="1" t="s">
        <v>8</v>
      </c>
    </row>
    <row r="4" customFormat="false" ht="15" hidden="false" customHeight="false" outlineLevel="0" collapsed="false">
      <c r="B4" s="6" t="s">
        <v>9</v>
      </c>
      <c r="C4" s="7" t="n">
        <v>0.0037915467</v>
      </c>
      <c r="D4" s="7" t="n">
        <v>0.0536819086</v>
      </c>
      <c r="E4" s="7" t="n">
        <v>0.2841025811</v>
      </c>
      <c r="G4" s="1" t="s">
        <v>10</v>
      </c>
    </row>
    <row r="5" customFormat="false" ht="15" hidden="false" customHeight="false" outlineLevel="0" collapsed="false">
      <c r="B5" s="9" t="s">
        <v>11</v>
      </c>
      <c r="C5" s="10" t="n">
        <f aca="false">'Income Statement'!C15/'Income Statement'!C2</f>
        <v>0.0794660431178462</v>
      </c>
      <c r="D5" s="10" t="n">
        <f aca="false">'Income Statement'!D15/'Income Statement'!D2</f>
        <v>0.0724980845219603</v>
      </c>
      <c r="E5" s="10" t="n">
        <f aca="false">'Income Statement'!E15/'Income Statement'!E2</f>
        <v>0.118612558365002</v>
      </c>
    </row>
    <row r="6" customFormat="false" ht="15" hidden="false" customHeight="false" outlineLevel="0" collapsed="false">
      <c r="B6" s="9" t="s">
        <v>12</v>
      </c>
      <c r="C6" s="10" t="n">
        <f aca="false">'Income Statement'!C15/'Balance Sheet'!C16</f>
        <v>0.037892594708339</v>
      </c>
      <c r="D6" s="10" t="n">
        <f aca="false">'Income Statement'!D15/'Balance Sheet'!D16</f>
        <v>0.0357589368110215</v>
      </c>
      <c r="E6" s="10" t="n">
        <f aca="false">'Income Statement'!E15/'Balance Sheet'!E16</f>
        <v>0.0619366672253962</v>
      </c>
    </row>
    <row r="7" customFormat="false" ht="15" hidden="false" customHeight="false" outlineLevel="0" collapsed="false">
      <c r="B7" s="6" t="s">
        <v>13</v>
      </c>
      <c r="C7" s="7" t="n">
        <v>0.1897289647</v>
      </c>
      <c r="D7" s="7" t="n">
        <v>0.0043995135</v>
      </c>
      <c r="E7" s="7" t="n">
        <v>0.1228131899</v>
      </c>
    </row>
    <row r="8" customFormat="false" ht="15.75" hidden="false" customHeight="true" outlineLevel="0" collapsed="false">
      <c r="B8" s="9" t="s">
        <v>14</v>
      </c>
      <c r="C8" s="10" t="n">
        <v>0.0547953268</v>
      </c>
      <c r="D8" s="10" t="n">
        <v>-0.0268646581</v>
      </c>
      <c r="E8" s="10" t="n">
        <v>-0.0084295018</v>
      </c>
    </row>
    <row r="9" customFormat="false" ht="15" hidden="false" customHeight="false" outlineLevel="0" collapsed="false">
      <c r="B9" s="6" t="s">
        <v>15</v>
      </c>
      <c r="C9" s="7" t="n">
        <v>0.3871963107</v>
      </c>
      <c r="D9" s="7" t="n">
        <v>0.3144437773</v>
      </c>
      <c r="E9" s="7" t="n">
        <v>0.3882192982</v>
      </c>
      <c r="G9" s="11" t="s">
        <v>16</v>
      </c>
      <c r="H9" s="12"/>
      <c r="I9" s="12"/>
      <c r="J9" s="13"/>
    </row>
    <row r="10" customFormat="false" ht="15" hidden="false" customHeight="false" outlineLevel="0" collapsed="false">
      <c r="B10" s="9" t="s">
        <v>17</v>
      </c>
      <c r="C10" s="10" t="n">
        <v>0.77749197</v>
      </c>
      <c r="D10" s="10" t="n">
        <v>0.6207980791</v>
      </c>
      <c r="E10" s="10" t="n">
        <v>0.7405226514</v>
      </c>
      <c r="G10" s="14"/>
      <c r="H10" s="15" t="s">
        <v>18</v>
      </c>
      <c r="I10" s="15" t="s">
        <v>19</v>
      </c>
      <c r="J10" s="16" t="s">
        <v>20</v>
      </c>
    </row>
    <row r="11" customFormat="false" ht="15" hidden="false" customHeight="false" outlineLevel="0" collapsed="false">
      <c r="B11" s="6" t="s">
        <v>21</v>
      </c>
      <c r="C11" s="7" t="n">
        <v>1.1346002824</v>
      </c>
      <c r="D11" s="7" t="n">
        <v>0.9316155202</v>
      </c>
      <c r="E11" s="7" t="n">
        <v>1.3366771585</v>
      </c>
      <c r="G11" s="14" t="s">
        <v>22</v>
      </c>
      <c r="H11" s="17" t="n">
        <v>0.47</v>
      </c>
      <c r="I11" s="17" t="n">
        <v>0.55</v>
      </c>
      <c r="J11" s="18" t="n">
        <v>0.055</v>
      </c>
    </row>
    <row r="12" customFormat="false" ht="15" hidden="false" customHeight="false" outlineLevel="0" collapsed="false">
      <c r="B12" s="9" t="s">
        <v>23</v>
      </c>
      <c r="C12" s="10" t="n">
        <v>391.7925282535</v>
      </c>
      <c r="D12" s="10" t="n">
        <v>273.0651883105</v>
      </c>
      <c r="E12" s="10" t="n">
        <v>266.623841841</v>
      </c>
      <c r="G12" s="14" t="s">
        <v>24</v>
      </c>
      <c r="H12" s="17" t="n">
        <v>0.48</v>
      </c>
      <c r="I12" s="17" t="n">
        <v>0.48</v>
      </c>
      <c r="J12" s="17" t="n">
        <v>0.48</v>
      </c>
    </row>
    <row r="13" customFormat="false" ht="15" hidden="false" customHeight="false" outlineLevel="0" collapsed="false">
      <c r="B13" s="6" t="s">
        <v>25</v>
      </c>
      <c r="C13" s="7" t="n">
        <v>0.6837105277</v>
      </c>
      <c r="D13" s="7" t="n">
        <v>0.7727491045</v>
      </c>
      <c r="E13" s="7" t="n">
        <v>0.8539992582</v>
      </c>
      <c r="G13" s="14" t="s">
        <v>26</v>
      </c>
      <c r="H13" s="17" t="n">
        <v>0.35</v>
      </c>
      <c r="I13" s="17" t="n">
        <v>0.35</v>
      </c>
      <c r="J13" s="17" t="n">
        <v>0.35</v>
      </c>
    </row>
    <row r="14" customFormat="false" ht="15.75" hidden="false" customHeight="true" outlineLevel="0" collapsed="false">
      <c r="B14" s="9" t="s">
        <v>27</v>
      </c>
      <c r="C14" s="10" t="n">
        <v>2.1616607176</v>
      </c>
      <c r="D14" s="10" t="n">
        <v>3.4004227029</v>
      </c>
      <c r="E14" s="10" t="n">
        <v>5.8492802698</v>
      </c>
      <c r="G14" s="19" t="s">
        <v>28</v>
      </c>
      <c r="H14" s="20" t="n">
        <f aca="false">(H11-H13)/(H12-H13)</f>
        <v>0.923076923076923</v>
      </c>
      <c r="I14" s="20" t="n">
        <f aca="false">(I11-I13)/(I12-I13)</f>
        <v>1.53846153846154</v>
      </c>
      <c r="J14" s="21" t="n">
        <v>0.57</v>
      </c>
    </row>
    <row r="15" customFormat="false" ht="15" hidden="false" customHeight="false" outlineLevel="0" collapsed="false">
      <c r="B15" s="6" t="s">
        <v>29</v>
      </c>
      <c r="C15" s="7" t="n">
        <v>0.1929706769</v>
      </c>
      <c r="D15" s="7" t="n">
        <v>0.1654583599</v>
      </c>
      <c r="E15" s="7" t="n">
        <v>0.2248403294</v>
      </c>
    </row>
    <row r="16" customFormat="false" ht="15.75" hidden="false" customHeight="true" outlineLevel="0" collapsed="false">
      <c r="B16" s="9" t="s">
        <v>30</v>
      </c>
      <c r="C16" s="10" t="n">
        <v>0.8491525474</v>
      </c>
      <c r="D16" s="10" t="n">
        <v>1.1332706799</v>
      </c>
      <c r="E16" s="10" t="n">
        <v>1.0023040748</v>
      </c>
    </row>
    <row r="17" customFormat="false" ht="15" hidden="false" customHeight="false" outlineLevel="0" collapsed="false">
      <c r="B17" s="6" t="s">
        <v>31</v>
      </c>
      <c r="C17" s="7" t="n">
        <v>0.0233178937</v>
      </c>
      <c r="D17" s="7" t="n">
        <v>0</v>
      </c>
      <c r="E17" s="7" t="n">
        <v>0</v>
      </c>
      <c r="G17" s="22" t="s">
        <v>32</v>
      </c>
      <c r="H17" s="23"/>
    </row>
    <row r="18" customFormat="false" ht="15" hidden="false" customHeight="false" outlineLevel="0" collapsed="false">
      <c r="B18" s="9" t="s">
        <v>33</v>
      </c>
      <c r="C18" s="10" t="n">
        <v>0.0816383209</v>
      </c>
      <c r="D18" s="10" t="n">
        <v>0.0017766469</v>
      </c>
      <c r="E18" s="10" t="n">
        <v>-0.0472878862</v>
      </c>
      <c r="G18" s="24" t="s">
        <v>34</v>
      </c>
      <c r="H18" s="25" t="n">
        <f aca="false">'Income Statement'!E7/'Financial Ratios'!H19</f>
        <v>41990621.9656421</v>
      </c>
      <c r="I18" s="8"/>
    </row>
    <row r="19" customFormat="false" ht="15" hidden="false" customHeight="false" outlineLevel="0" collapsed="false">
      <c r="B19" s="6" t="s">
        <v>35</v>
      </c>
      <c r="C19" s="7" t="n">
        <v>4.2423968106</v>
      </c>
      <c r="D19" s="7"/>
      <c r="E19" s="7"/>
      <c r="G19" s="24" t="s">
        <v>36</v>
      </c>
      <c r="H19" s="25" t="n">
        <f aca="false">(('Income Statement'!E7-'Income Statement'!D7)/'Income Statement'!D7)/(('Income Statement'!E2-'Income Statement'!D2)/'Income Statement'!D2)</f>
        <v>2.04774561496984</v>
      </c>
    </row>
    <row r="20" customFormat="false" ht="15" hidden="false" customHeight="false" outlineLevel="0" collapsed="false">
      <c r="B20" s="6" t="s">
        <v>37</v>
      </c>
      <c r="C20" s="7" t="n">
        <v>0.8575324655</v>
      </c>
      <c r="D20" s="7" t="n">
        <v>0.6100153214</v>
      </c>
      <c r="E20" s="7" t="n">
        <v>0.5652745921</v>
      </c>
      <c r="G20" s="24" t="s">
        <v>38</v>
      </c>
      <c r="H20" s="25" t="n">
        <f aca="false">-'Income Statement'!E8/0.8</f>
        <v>48092535</v>
      </c>
    </row>
    <row r="21" customFormat="false" ht="15" hidden="false" customHeight="false" outlineLevel="0" collapsed="false">
      <c r="B21" s="9" t="s">
        <v>39</v>
      </c>
      <c r="C21" s="10" t="n">
        <v>0.8509495139</v>
      </c>
      <c r="D21" s="10" t="n">
        <v>0.6056939971</v>
      </c>
      <c r="E21" s="10" t="n">
        <v>0.5611188509</v>
      </c>
      <c r="G21" s="24" t="s">
        <v>40</v>
      </c>
      <c r="H21" s="25" t="n">
        <f aca="false">(('Income Statement'!E15-'Income Statement'!D15)/'Income Statement'!D15)/(('Income Statement'!E7-'Income Statement'!D7)/'Income Statement'!D7)</f>
        <v>1.62040045151462</v>
      </c>
    </row>
    <row r="22" customFormat="false" ht="15" hidden="false" customHeight="false" outlineLevel="0" collapsed="false">
      <c r="B22" s="6" t="s">
        <v>41</v>
      </c>
      <c r="C22" s="7" t="n">
        <v>0.0887475723</v>
      </c>
      <c r="D22" s="7" t="n">
        <v>0.1141350885</v>
      </c>
      <c r="E22" s="7" t="n">
        <v>0.0760360541</v>
      </c>
      <c r="G22" s="24" t="s">
        <v>42</v>
      </c>
      <c r="H22" s="25" t="n">
        <f aca="false">H20+H18</f>
        <v>90083156.9656421</v>
      </c>
      <c r="I22" s="8"/>
    </row>
    <row r="23" customFormat="false" ht="15.75" hidden="false" customHeight="true" outlineLevel="0" collapsed="false">
      <c r="B23" s="6" t="s">
        <v>43</v>
      </c>
      <c r="C23" s="7" t="n">
        <v>0.2126899023</v>
      </c>
      <c r="D23" s="7" t="n">
        <v>0.0716946177</v>
      </c>
      <c r="E23" s="7" t="n">
        <v>0.1100445782</v>
      </c>
      <c r="G23" s="26" t="s">
        <v>44</v>
      </c>
      <c r="H23" s="27" t="n">
        <f aca="false">H21*H19</f>
        <v>3.31816791908421</v>
      </c>
    </row>
    <row r="24" customFormat="false" ht="15" hidden="false" customHeight="false" outlineLevel="0" collapsed="false">
      <c r="B24" s="9" t="s">
        <v>45</v>
      </c>
      <c r="C24" s="10" t="n">
        <v>1.1783680518</v>
      </c>
      <c r="D24" s="10" t="n">
        <v>18.909068781</v>
      </c>
      <c r="E24" s="10" t="n">
        <v>2.049937885</v>
      </c>
    </row>
    <row r="25" customFormat="false" ht="15" hidden="false" customHeight="false" outlineLevel="0" collapsed="false">
      <c r="B25" s="6" t="s">
        <v>46</v>
      </c>
      <c r="C25" s="7" t="n">
        <v>0.1779639585</v>
      </c>
      <c r="D25" s="7" t="n">
        <v>0.179910575</v>
      </c>
      <c r="E25" s="7" t="n">
        <v>0.0095119146</v>
      </c>
      <c r="G25" s="8" t="s">
        <v>47</v>
      </c>
    </row>
    <row r="26" customFormat="false" ht="15" hidden="false" customHeight="false" outlineLevel="0" collapsed="false">
      <c r="B26" s="9" t="s">
        <v>48</v>
      </c>
      <c r="C26" s="10" t="n">
        <v>0.9859755484</v>
      </c>
      <c r="D26" s="10" t="n">
        <v>47.4504439253</v>
      </c>
      <c r="E26" s="10" t="n">
        <v>0.1771903206</v>
      </c>
    </row>
    <row r="27" customFormat="false" ht="15" hidden="false" customHeight="false" outlineLevel="0" collapsed="false">
      <c r="B27" s="6" t="s">
        <v>49</v>
      </c>
      <c r="C27" s="7" t="n">
        <v>0.2029238093</v>
      </c>
      <c r="D27" s="7" t="n">
        <v>0.2723748454</v>
      </c>
      <c r="E27" s="7" t="n">
        <v>0.1158369566</v>
      </c>
    </row>
    <row r="28" customFormat="false" ht="15" hidden="false" customHeight="false" outlineLevel="0" collapsed="false">
      <c r="B28" s="9" t="s">
        <v>50</v>
      </c>
      <c r="C28" s="10" t="n">
        <v>1.1242608666</v>
      </c>
      <c r="D28" s="10" t="n">
        <v>71.8373965881</v>
      </c>
      <c r="E28" s="10" t="n">
        <v>2.1578397569</v>
      </c>
    </row>
    <row r="29" customFormat="false" ht="15" hidden="false" customHeight="false" outlineLevel="0" collapsed="false">
      <c r="B29" s="6" t="s">
        <v>51</v>
      </c>
      <c r="C29" s="7" t="n">
        <v>0.0669243838</v>
      </c>
      <c r="D29" s="7" t="n">
        <v>0.1225346198</v>
      </c>
      <c r="E29" s="7" t="n">
        <v>0.0699351759</v>
      </c>
    </row>
    <row r="30" customFormat="false" ht="15" hidden="false" customHeight="false" outlineLevel="0" collapsed="false">
      <c r="B30" s="9" t="s">
        <v>52</v>
      </c>
      <c r="C30" s="10" t="n">
        <v>0.0410242576</v>
      </c>
      <c r="D30" s="10" t="n">
        <v>0.0528529075</v>
      </c>
      <c r="E30" s="10" t="n">
        <v>0.0326989119</v>
      </c>
    </row>
    <row r="31" customFormat="false" ht="15" hidden="false" customHeight="false" outlineLevel="0" collapsed="false">
      <c r="B31" s="6" t="s">
        <v>53</v>
      </c>
      <c r="C31" s="7" t="n">
        <v>0.0324678024</v>
      </c>
      <c r="D31" s="7" t="n">
        <v>-0.1339334887</v>
      </c>
      <c r="E31" s="7" t="n">
        <v>0.1277907793</v>
      </c>
    </row>
    <row r="32" customFormat="false" ht="15" hidden="false" customHeight="false" outlineLevel="0" collapsed="false">
      <c r="B32" s="9" t="s">
        <v>54</v>
      </c>
      <c r="C32" s="10" t="n">
        <v>-0.0788673929</v>
      </c>
      <c r="D32" s="10" t="n">
        <v>0.0443715782</v>
      </c>
      <c r="E32" s="10" t="n">
        <v>-0.12869322</v>
      </c>
    </row>
    <row r="33" customFormat="false" ht="15" hidden="false" customHeight="false" outlineLevel="0" collapsed="false">
      <c r="B33" s="28"/>
      <c r="C33" s="29"/>
      <c r="D33" s="29"/>
      <c r="E33" s="29"/>
    </row>
    <row r="34" customFormat="false" ht="20.25" hidden="false" customHeight="true" outlineLevel="0" collapsed="false">
      <c r="B34" s="2" t="s">
        <v>55</v>
      </c>
      <c r="C34" s="30" t="s">
        <v>1</v>
      </c>
      <c r="D34" s="30" t="s">
        <v>2</v>
      </c>
      <c r="E34" s="30" t="s">
        <v>3</v>
      </c>
    </row>
    <row r="35" customFormat="false" ht="15" hidden="false" customHeight="false" outlineLevel="0" collapsed="false">
      <c r="B35" s="6" t="s">
        <v>56</v>
      </c>
      <c r="C35" s="7" t="n">
        <v>434507.074</v>
      </c>
      <c r="D35" s="7" t="n">
        <v>543969.83</v>
      </c>
      <c r="E35" s="7" t="n">
        <v>697388.316</v>
      </c>
    </row>
    <row r="36" customFormat="false" ht="15" hidden="false" customHeight="false" outlineLevel="0" collapsed="false">
      <c r="B36" s="9" t="s">
        <v>57</v>
      </c>
      <c r="C36" s="10" t="n">
        <v>70287.938</v>
      </c>
      <c r="D36" s="10" t="n">
        <v>68005.838</v>
      </c>
      <c r="E36" s="10" t="n">
        <v>91990.937</v>
      </c>
    </row>
    <row r="37" customFormat="false" ht="15" hidden="false" customHeight="false" outlineLevel="0" collapsed="false">
      <c r="B37" s="6" t="s">
        <v>58</v>
      </c>
      <c r="C37" s="7" t="n">
        <v>6407.123</v>
      </c>
      <c r="D37" s="7" t="n">
        <v>10887.268</v>
      </c>
      <c r="E37" s="7" t="n">
        <v>8481.694</v>
      </c>
    </row>
    <row r="38" customFormat="false" ht="15" hidden="false" customHeight="false" outlineLevel="0" collapsed="false">
      <c r="B38" s="9" t="s">
        <v>59</v>
      </c>
      <c r="C38" s="10" t="n">
        <v>20362.24</v>
      </c>
      <c r="D38" s="10" t="n">
        <v>6370.106</v>
      </c>
      <c r="E38" s="10" t="n">
        <v>13346.137</v>
      </c>
    </row>
    <row r="39" customFormat="false" ht="15" hidden="false" customHeight="false" outlineLevel="0" collapsed="false">
      <c r="B39" s="6" t="s">
        <v>60</v>
      </c>
      <c r="C39" s="7" t="n">
        <v>17037.691</v>
      </c>
      <c r="D39" s="7" t="n">
        <v>15985.153</v>
      </c>
      <c r="E39" s="7" t="n">
        <v>1153.599</v>
      </c>
    </row>
    <row r="66" customFormat="false" ht="15" hidden="false" customHeight="false" outlineLevel="0" collapsed="false">
      <c r="A66" s="8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true" showRowColHeaders="true" showZeros="true" rightToLeft="false" tabSelected="false" showOutlineSymbols="true" defaultGridColor="true" view="normal" topLeftCell="A1" colorId="64" zoomScale="102" zoomScaleNormal="102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8" min="2" style="0" width="18.57"/>
  </cols>
  <sheetData>
    <row r="2" customFormat="false" ht="16.5" hidden="false" customHeight="true" outlineLevel="0" collapsed="false">
      <c r="B2" s="31" t="s">
        <v>62</v>
      </c>
      <c r="C2" s="32" t="s">
        <v>63</v>
      </c>
      <c r="D2" s="33" t="s">
        <v>64</v>
      </c>
      <c r="E2" s="33" t="s">
        <v>65</v>
      </c>
      <c r="F2" s="33" t="s">
        <v>66</v>
      </c>
      <c r="G2" s="34" t="s">
        <v>67</v>
      </c>
      <c r="H2" s="34" t="s">
        <v>68</v>
      </c>
    </row>
    <row r="3" customFormat="false" ht="15" hidden="false" customHeight="false" outlineLevel="0" collapsed="false">
      <c r="B3" s="35" t="s">
        <v>19</v>
      </c>
      <c r="C3" s="36" t="n">
        <v>6.5954773869</v>
      </c>
      <c r="D3" s="36" t="n">
        <v>9.776536</v>
      </c>
      <c r="E3" s="36" t="n">
        <v>2.586363</v>
      </c>
      <c r="F3" s="36" t="n">
        <v>0.662592</v>
      </c>
      <c r="G3" s="37" t="n">
        <v>4.737813</v>
      </c>
      <c r="H3" s="37" t="n">
        <v>796.05</v>
      </c>
    </row>
    <row r="4" customFormat="false" ht="15" hidden="false" customHeight="false" outlineLevel="0" collapsed="false">
      <c r="B4" s="38" t="s">
        <v>18</v>
      </c>
      <c r="C4" s="39" t="n">
        <v>10.9508196721</v>
      </c>
      <c r="D4" s="39" t="n">
        <v>30.208171</v>
      </c>
      <c r="E4" s="39" t="n">
        <v>0.639087</v>
      </c>
      <c r="F4" s="39" t="n">
        <v>3.877209</v>
      </c>
      <c r="G4" s="40" t="n">
        <v>55.720989</v>
      </c>
      <c r="H4" s="40" t="n">
        <v>44.98</v>
      </c>
    </row>
    <row r="5" customFormat="false" ht="15" hidden="false" customHeight="false" outlineLevel="0" collapsed="false">
      <c r="B5" s="41" t="s">
        <v>20</v>
      </c>
      <c r="C5" s="42" t="n">
        <v>4.6960408685</v>
      </c>
      <c r="D5" s="42" t="n">
        <v>31.458777</v>
      </c>
      <c r="E5" s="42" t="n">
        <v>2.093469</v>
      </c>
      <c r="F5" s="42" t="n">
        <v>1.014455</v>
      </c>
      <c r="G5" s="43" t="n">
        <v>14.891679</v>
      </c>
      <c r="H5" s="43" t="n">
        <v>648.72</v>
      </c>
    </row>
    <row r="6" customFormat="false" ht="210" hidden="false" customHeight="true" outlineLevel="0" collapsed="false">
      <c r="B6" s="44"/>
      <c r="C6" s="44" t="s">
        <v>69</v>
      </c>
      <c r="D6" s="45" t="s">
        <v>70</v>
      </c>
      <c r="E6" s="45" t="s">
        <v>71</v>
      </c>
      <c r="F6" s="45" t="s">
        <v>72</v>
      </c>
      <c r="G6" s="46" t="s">
        <v>73</v>
      </c>
      <c r="H6" s="46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47" width="48"/>
    <col collapsed="false" customWidth="true" hidden="false" outlineLevel="0" max="5" min="3" style="48" width="26"/>
    <col collapsed="false" customWidth="false" hidden="false" outlineLevel="0" max="16384" min="6" style="1" width="9.14"/>
  </cols>
  <sheetData>
    <row r="1" customFormat="false" ht="16.5" hidden="false" customHeight="true" outlineLevel="0" collapsed="false">
      <c r="B1" s="49" t="s">
        <v>75</v>
      </c>
      <c r="C1" s="50" t="s">
        <v>1</v>
      </c>
      <c r="D1" s="50" t="s">
        <v>2</v>
      </c>
      <c r="E1" s="50" t="s">
        <v>3</v>
      </c>
    </row>
    <row r="2" customFormat="false" ht="15" hidden="false" customHeight="false" outlineLevel="0" collapsed="false">
      <c r="B2" s="47" t="s">
        <v>76</v>
      </c>
      <c r="C2" s="48" t="n">
        <v>368170477</v>
      </c>
      <c r="D2" s="48" t="n">
        <v>487219107</v>
      </c>
      <c r="E2" s="48" t="n">
        <v>671459971</v>
      </c>
    </row>
    <row r="3" customFormat="false" ht="15" hidden="false" customHeight="false" outlineLevel="0" collapsed="false">
      <c r="B3" s="47" t="s">
        <v>77</v>
      </c>
      <c r="C3" s="48" t="n">
        <v>-282741912</v>
      </c>
      <c r="D3" s="48" t="n">
        <v>-376094229</v>
      </c>
      <c r="E3" s="48" t="n">
        <v>-515609104</v>
      </c>
    </row>
    <row r="4" customFormat="false" ht="15" hidden="false" customHeight="false" outlineLevel="0" collapsed="false">
      <c r="B4" s="51" t="s">
        <v>78</v>
      </c>
      <c r="C4" s="52" t="n">
        <v>85428565</v>
      </c>
      <c r="D4" s="52" t="n">
        <v>111124878</v>
      </c>
      <c r="E4" s="52" t="n">
        <v>155850867</v>
      </c>
    </row>
    <row r="5" customFormat="false" ht="15" hidden="false" customHeight="false" outlineLevel="0" collapsed="false">
      <c r="B5" s="47" t="s">
        <v>79</v>
      </c>
      <c r="C5" s="48" t="n">
        <v>-60296298</v>
      </c>
      <c r="D5" s="48" t="n">
        <v>-72109023</v>
      </c>
      <c r="E5" s="48" t="n">
        <v>-89565319</v>
      </c>
    </row>
    <row r="6" customFormat="false" ht="15" hidden="false" customHeight="false" outlineLevel="0" collapsed="false">
      <c r="B6" s="47" t="s">
        <v>80</v>
      </c>
      <c r="C6" s="48" t="n">
        <v>2883783</v>
      </c>
      <c r="D6" s="48" t="n">
        <v>9444754</v>
      </c>
      <c r="E6" s="48" t="n">
        <v>19700564</v>
      </c>
    </row>
    <row r="7" customFormat="false" ht="15" hidden="false" customHeight="false" outlineLevel="0" collapsed="false">
      <c r="B7" s="51" t="s">
        <v>81</v>
      </c>
      <c r="C7" s="52" t="n">
        <v>28016050</v>
      </c>
      <c r="D7" s="52" t="n">
        <v>48460609</v>
      </c>
      <c r="E7" s="52" t="n">
        <v>85986112</v>
      </c>
    </row>
    <row r="8" customFormat="false" ht="15" hidden="false" customHeight="false" outlineLevel="0" collapsed="false">
      <c r="B8" s="47" t="s">
        <v>82</v>
      </c>
      <c r="C8" s="48" t="n">
        <v>-14920002</v>
      </c>
      <c r="D8" s="48" t="n">
        <v>-23976818</v>
      </c>
      <c r="E8" s="48" t="n">
        <v>-38474028</v>
      </c>
    </row>
    <row r="9" customFormat="false" ht="15" hidden="false" customHeight="false" outlineLevel="0" collapsed="false">
      <c r="B9" s="47" t="s">
        <v>83</v>
      </c>
      <c r="C9" s="48" t="n">
        <v>30161801</v>
      </c>
      <c r="D9" s="48" t="n">
        <v>25406363</v>
      </c>
      <c r="E9" s="48" t="n">
        <v>56113904</v>
      </c>
    </row>
    <row r="10" customFormat="false" ht="15" hidden="false" customHeight="false" outlineLevel="0" collapsed="false">
      <c r="B10" s="51" t="s">
        <v>84</v>
      </c>
      <c r="C10" s="52" t="n">
        <v>43257849</v>
      </c>
      <c r="D10" s="52" t="n">
        <v>49890154</v>
      </c>
      <c r="E10" s="52" t="n">
        <v>103625988</v>
      </c>
    </row>
    <row r="11" customFormat="false" ht="15" hidden="false" customHeight="false" outlineLevel="0" collapsed="false">
      <c r="B11" s="47" t="s">
        <v>85</v>
      </c>
      <c r="C11" s="48" t="n">
        <v>0</v>
      </c>
      <c r="D11" s="48" t="n">
        <v>-13553</v>
      </c>
      <c r="E11" s="48" t="n">
        <v>127801</v>
      </c>
    </row>
    <row r="12" customFormat="false" ht="15" hidden="false" customHeight="false" outlineLevel="0" collapsed="false">
      <c r="B12" s="51" t="s">
        <v>86</v>
      </c>
      <c r="C12" s="52" t="n">
        <v>43257849</v>
      </c>
      <c r="D12" s="52" t="n">
        <v>49876601</v>
      </c>
      <c r="E12" s="52" t="n">
        <v>103753789</v>
      </c>
    </row>
    <row r="13" customFormat="false" ht="15" hidden="false" customHeight="false" outlineLevel="0" collapsed="false">
      <c r="B13" s="47" t="s">
        <v>87</v>
      </c>
      <c r="C13" s="48" t="n">
        <v>-14000798</v>
      </c>
      <c r="D13" s="48" t="n">
        <v>-14554149</v>
      </c>
      <c r="E13" s="48" t="n">
        <v>-24110204</v>
      </c>
    </row>
    <row r="14" customFormat="false" ht="15" hidden="false" customHeight="false" outlineLevel="0" collapsed="false">
      <c r="B14" s="51" t="s">
        <v>88</v>
      </c>
      <c r="C14" s="52" t="n">
        <v>29257051</v>
      </c>
      <c r="D14" s="52" t="n">
        <v>35322452</v>
      </c>
      <c r="E14" s="52" t="n">
        <v>79643585</v>
      </c>
    </row>
    <row r="15" customFormat="false" ht="15" hidden="false" customHeight="false" outlineLevel="0" collapsed="false">
      <c r="B15" s="51" t="s">
        <v>89</v>
      </c>
      <c r="C15" s="52" t="n">
        <v>29257051</v>
      </c>
      <c r="D15" s="52" t="n">
        <v>35322452</v>
      </c>
      <c r="E15" s="52" t="n">
        <v>79643585</v>
      </c>
    </row>
    <row r="16" customFormat="false" ht="15" hidden="false" customHeight="false" outlineLevel="0" collapsed="false">
      <c r="B16" s="47" t="s">
        <v>90</v>
      </c>
      <c r="C16" s="48" t="n">
        <v>6104513</v>
      </c>
      <c r="D16" s="48" t="n">
        <v>6297724</v>
      </c>
      <c r="E16" s="48" t="n">
        <v>4800243</v>
      </c>
    </row>
    <row r="17" customFormat="false" ht="15" hidden="false" customHeight="false" outlineLevel="0" collapsed="false">
      <c r="B17" s="51" t="s">
        <v>91</v>
      </c>
      <c r="C17" s="52" t="n">
        <v>23152538</v>
      </c>
      <c r="D17" s="52" t="n">
        <v>29024728</v>
      </c>
      <c r="E17" s="52" t="n">
        <v>74843342</v>
      </c>
    </row>
    <row r="18" customFormat="false" ht="15" hidden="false" customHeight="false" outlineLevel="0" collapsed="false">
      <c r="B18" s="47" t="s">
        <v>92</v>
      </c>
      <c r="C18" s="48" t="n">
        <v>488</v>
      </c>
      <c r="D18" s="48" t="n">
        <v>589</v>
      </c>
      <c r="E18" s="48" t="n">
        <v>1327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47" width="44"/>
    <col collapsed="false" customWidth="true" hidden="false" outlineLevel="0" max="5" min="3" style="48" width="26"/>
    <col collapsed="false" customWidth="false" hidden="false" outlineLevel="0" max="6" min="6" style="53" width="9.14"/>
    <col collapsed="false" customWidth="false" hidden="false" outlineLevel="0" max="16384" min="7" style="1" width="9.14"/>
  </cols>
  <sheetData>
    <row r="1" customFormat="false" ht="16.5" hidden="false" customHeight="true" outlineLevel="0" collapsed="false">
      <c r="B1" s="49" t="s">
        <v>75</v>
      </c>
      <c r="C1" s="50" t="s">
        <v>1</v>
      </c>
      <c r="D1" s="50" t="s">
        <v>2</v>
      </c>
      <c r="E1" s="50" t="s">
        <v>3</v>
      </c>
    </row>
    <row r="2" customFormat="false" ht="15" hidden="false" customHeight="false" outlineLevel="0" collapsed="false">
      <c r="B2" s="54" t="s">
        <v>93</v>
      </c>
      <c r="C2" s="55"/>
      <c r="D2" s="55"/>
      <c r="E2" s="55"/>
    </row>
    <row r="3" customFormat="false" ht="15" hidden="false" customHeight="false" outlineLevel="0" collapsed="false">
      <c r="B3" s="47" t="s">
        <v>94</v>
      </c>
      <c r="C3" s="48" t="n">
        <v>19944212</v>
      </c>
      <c r="D3" s="48" t="n">
        <v>42780455</v>
      </c>
      <c r="E3" s="48" t="n">
        <v>63925172</v>
      </c>
    </row>
    <row r="4" customFormat="false" ht="15" hidden="false" customHeight="false" outlineLevel="0" collapsed="false">
      <c r="B4" s="47" t="s">
        <v>95</v>
      </c>
      <c r="C4" s="48" t="n">
        <v>38203181</v>
      </c>
      <c r="D4" s="48" t="n">
        <v>35076707</v>
      </c>
      <c r="E4" s="48" t="n">
        <v>62560316</v>
      </c>
    </row>
    <row r="5" customFormat="false" ht="15" hidden="false" customHeight="false" outlineLevel="0" collapsed="false">
      <c r="B5" s="47" t="s">
        <v>96</v>
      </c>
      <c r="C5" s="48" t="n">
        <v>6336289</v>
      </c>
      <c r="D5" s="48" t="n">
        <v>12783186</v>
      </c>
      <c r="E5" s="48" t="n">
        <v>29928551</v>
      </c>
    </row>
    <row r="6" customFormat="false" ht="15" hidden="false" customHeight="false" outlineLevel="0" collapsed="false">
      <c r="B6" s="47" t="s">
        <v>97</v>
      </c>
      <c r="C6" s="48" t="n">
        <v>19529172</v>
      </c>
      <c r="D6" s="48" t="n">
        <v>35300090</v>
      </c>
      <c r="E6" s="48" t="n">
        <v>40252855</v>
      </c>
    </row>
    <row r="7" customFormat="false" ht="15" hidden="false" customHeight="false" outlineLevel="0" collapsed="false">
      <c r="B7" s="47" t="s">
        <v>98</v>
      </c>
      <c r="C7" s="48" t="n">
        <v>159097</v>
      </c>
      <c r="D7" s="48" t="n">
        <v>96166</v>
      </c>
      <c r="E7" s="48" t="n">
        <v>3864505</v>
      </c>
    </row>
    <row r="8" customFormat="false" ht="15" hidden="false" customHeight="false" outlineLevel="0" collapsed="false">
      <c r="B8" s="51" t="s">
        <v>99</v>
      </c>
      <c r="C8" s="52" t="n">
        <v>185826246</v>
      </c>
      <c r="D8" s="52" t="n">
        <v>264574426</v>
      </c>
      <c r="E8" s="52" t="n">
        <v>348317238</v>
      </c>
    </row>
    <row r="9" customFormat="false" ht="15" hidden="false" customHeight="false" outlineLevel="0" collapsed="false">
      <c r="B9" s="47" t="s">
        <v>100</v>
      </c>
      <c r="C9" s="48" t="n">
        <v>2043096</v>
      </c>
      <c r="D9" s="48" t="n">
        <v>1110669</v>
      </c>
      <c r="E9" s="48" t="n">
        <v>826587</v>
      </c>
    </row>
    <row r="10" customFormat="false" ht="15" hidden="false" customHeight="false" outlineLevel="0" collapsed="false">
      <c r="B10" s="47" t="s">
        <v>101</v>
      </c>
      <c r="C10" s="48" t="n">
        <v>5900188</v>
      </c>
      <c r="D10" s="48" t="n">
        <v>10705348</v>
      </c>
      <c r="E10" s="48" t="n">
        <v>6797232</v>
      </c>
    </row>
    <row r="11" customFormat="false" ht="15" hidden="false" customHeight="false" outlineLevel="0" collapsed="false">
      <c r="B11" s="47" t="s">
        <v>102</v>
      </c>
      <c r="C11" s="48" t="n">
        <v>523909953</v>
      </c>
      <c r="D11" s="48" t="n">
        <v>652509742</v>
      </c>
      <c r="E11" s="48" t="n">
        <v>862133173</v>
      </c>
    </row>
    <row r="12" customFormat="false" ht="15" hidden="false" customHeight="false" outlineLevel="0" collapsed="false">
      <c r="B12" s="47" t="s">
        <v>103</v>
      </c>
      <c r="C12" s="48" t="n">
        <v>11083027</v>
      </c>
      <c r="D12" s="48" t="n">
        <v>9814352</v>
      </c>
      <c r="E12" s="48" t="n">
        <v>9451915</v>
      </c>
    </row>
    <row r="13" customFormat="false" ht="15" hidden="false" customHeight="false" outlineLevel="0" collapsed="false">
      <c r="B13" s="47" t="s">
        <v>104</v>
      </c>
      <c r="C13" s="48" t="n">
        <v>466597</v>
      </c>
      <c r="D13" s="48" t="n">
        <v>430819</v>
      </c>
      <c r="E13" s="48" t="n">
        <v>401215</v>
      </c>
    </row>
    <row r="14" customFormat="false" ht="15" hidden="false" customHeight="false" outlineLevel="0" collapsed="false">
      <c r="B14" s="47" t="s">
        <v>105</v>
      </c>
      <c r="C14" s="48" t="n">
        <v>41812404</v>
      </c>
      <c r="D14" s="48" t="n">
        <v>45871922</v>
      </c>
      <c r="E14" s="48" t="n">
        <v>50029966</v>
      </c>
    </row>
    <row r="15" customFormat="false" ht="15" hidden="false" customHeight="false" outlineLevel="0" collapsed="false">
      <c r="B15" s="51" t="s">
        <v>106</v>
      </c>
      <c r="C15" s="52" t="n">
        <v>586278468</v>
      </c>
      <c r="D15" s="52" t="n">
        <v>723219260</v>
      </c>
      <c r="E15" s="52" t="n">
        <v>937570243</v>
      </c>
    </row>
    <row r="16" customFormat="false" ht="15" hidden="false" customHeight="false" outlineLevel="0" collapsed="false">
      <c r="B16" s="51" t="s">
        <v>107</v>
      </c>
      <c r="C16" s="52" t="n">
        <v>772104714</v>
      </c>
      <c r="D16" s="52" t="n">
        <v>987793686</v>
      </c>
      <c r="E16" s="52" t="n">
        <v>1285887481</v>
      </c>
    </row>
    <row r="17" customFormat="false" ht="15" hidden="false" customHeight="false" outlineLevel="0" collapsed="false">
      <c r="B17" s="54" t="s">
        <v>108</v>
      </c>
      <c r="C17" s="55"/>
      <c r="D17" s="55"/>
      <c r="E17" s="55"/>
    </row>
    <row r="18" customFormat="false" ht="15" hidden="false" customHeight="false" outlineLevel="0" collapsed="false">
      <c r="B18" s="47" t="s">
        <v>109</v>
      </c>
      <c r="C18" s="48" t="n">
        <v>24201709</v>
      </c>
      <c r="D18" s="48" t="n">
        <v>31144582</v>
      </c>
      <c r="E18" s="48" t="n">
        <v>28353233</v>
      </c>
    </row>
    <row r="19" customFormat="false" ht="15" hidden="false" customHeight="false" outlineLevel="0" collapsed="false">
      <c r="B19" s="47" t="s">
        <v>110</v>
      </c>
      <c r="C19" s="48" t="n">
        <v>20372540</v>
      </c>
      <c r="D19" s="48" t="n">
        <v>25058384</v>
      </c>
      <c r="E19" s="48" t="n">
        <v>34547152</v>
      </c>
    </row>
    <row r="20" customFormat="false" ht="15" hidden="false" customHeight="false" outlineLevel="0" collapsed="false">
      <c r="B20" s="47" t="s">
        <v>111</v>
      </c>
      <c r="C20" s="48" t="n">
        <v>19173284</v>
      </c>
      <c r="D20" s="48" t="n">
        <v>14606548</v>
      </c>
      <c r="E20" s="48" t="n">
        <v>8386419</v>
      </c>
    </row>
    <row r="21" customFormat="false" ht="15" hidden="false" customHeight="false" outlineLevel="0" collapsed="false">
      <c r="B21" s="47" t="s">
        <v>112</v>
      </c>
      <c r="C21" s="48" t="n">
        <v>150429121</v>
      </c>
      <c r="D21" s="48" t="n">
        <v>193373076</v>
      </c>
      <c r="E21" s="48" t="n">
        <v>220075154</v>
      </c>
    </row>
    <row r="22" customFormat="false" ht="15" hidden="false" customHeight="false" outlineLevel="0" collapsed="false">
      <c r="B22" s="51" t="s">
        <v>113</v>
      </c>
      <c r="C22" s="52" t="n">
        <v>565096030</v>
      </c>
      <c r="D22" s="52" t="n">
        <v>770699472</v>
      </c>
      <c r="E22" s="52" t="n">
        <v>787506562</v>
      </c>
    </row>
    <row r="23" customFormat="false" ht="15" hidden="false" customHeight="false" outlineLevel="0" collapsed="false">
      <c r="B23" s="47" t="s">
        <v>114</v>
      </c>
      <c r="C23" s="48" t="n">
        <v>52102417</v>
      </c>
      <c r="D23" s="48" t="n">
        <v>46881539</v>
      </c>
      <c r="E23" s="48" t="n">
        <v>215268702</v>
      </c>
    </row>
    <row r="24" customFormat="false" ht="15" hidden="false" customHeight="false" outlineLevel="0" collapsed="false">
      <c r="B24" s="47" t="s">
        <v>115</v>
      </c>
      <c r="C24" s="48" t="n">
        <v>0</v>
      </c>
      <c r="D24" s="48" t="n">
        <v>0</v>
      </c>
      <c r="E24" s="48" t="n">
        <v>36984931</v>
      </c>
    </row>
    <row r="25" customFormat="false" ht="15" hidden="false" customHeight="false" outlineLevel="0" collapsed="false">
      <c r="B25" s="47" t="s">
        <v>116</v>
      </c>
      <c r="C25" s="48" t="n">
        <v>37341761</v>
      </c>
      <c r="D25" s="48" t="n">
        <v>45021047</v>
      </c>
      <c r="E25" s="48" t="n">
        <v>53643350</v>
      </c>
    </row>
    <row r="26" customFormat="false" ht="15" hidden="false" customHeight="false" outlineLevel="0" collapsed="false">
      <c r="B26" s="51" t="s">
        <v>117</v>
      </c>
      <c r="C26" s="52" t="n">
        <v>89444178</v>
      </c>
      <c r="D26" s="52" t="n">
        <v>91902586</v>
      </c>
      <c r="E26" s="52" t="n">
        <v>305896983</v>
      </c>
    </row>
    <row r="27" customFormat="false" ht="15" hidden="false" customHeight="false" outlineLevel="0" collapsed="false">
      <c r="B27" s="51" t="s">
        <v>118</v>
      </c>
      <c r="C27" s="52" t="n">
        <v>654540208</v>
      </c>
      <c r="D27" s="52" t="n">
        <v>862602058</v>
      </c>
      <c r="E27" s="52" t="n">
        <v>1093403545</v>
      </c>
    </row>
    <row r="28" customFormat="false" ht="15" hidden="false" customHeight="false" outlineLevel="0" collapsed="false">
      <c r="B28" s="54" t="s">
        <v>119</v>
      </c>
      <c r="C28" s="55"/>
      <c r="D28" s="55"/>
      <c r="E28" s="55"/>
    </row>
    <row r="29" customFormat="false" ht="15" hidden="false" customHeight="false" outlineLevel="0" collapsed="false">
      <c r="B29" s="47" t="s">
        <v>120</v>
      </c>
      <c r="C29" s="48" t="n">
        <v>60000000</v>
      </c>
      <c r="D29" s="48" t="n">
        <v>60000000</v>
      </c>
      <c r="E29" s="48" t="n">
        <v>60000000</v>
      </c>
    </row>
    <row r="30" customFormat="false" ht="15" hidden="false" customHeight="false" outlineLevel="0" collapsed="false">
      <c r="B30" s="47" t="s">
        <v>121</v>
      </c>
      <c r="C30" s="48" t="n">
        <v>0</v>
      </c>
      <c r="D30" s="48" t="n">
        <v>-1032188</v>
      </c>
      <c r="E30" s="48" t="n">
        <v>-9720504</v>
      </c>
    </row>
    <row r="31" customFormat="false" ht="15" hidden="false" customHeight="false" outlineLevel="0" collapsed="false">
      <c r="B31" s="47" t="s">
        <v>122</v>
      </c>
      <c r="C31" s="48" t="n">
        <v>11557539</v>
      </c>
      <c r="D31" s="48" t="n">
        <v>13907092</v>
      </c>
      <c r="E31" s="48" t="n">
        <v>17154008</v>
      </c>
    </row>
    <row r="32" customFormat="false" ht="15" hidden="false" customHeight="false" outlineLevel="0" collapsed="false">
      <c r="B32" s="47" t="s">
        <v>123</v>
      </c>
      <c r="C32" s="48" t="n">
        <v>3287379</v>
      </c>
      <c r="D32" s="48" t="n">
        <v>3287379</v>
      </c>
      <c r="E32" s="48" t="n">
        <v>26239379</v>
      </c>
    </row>
    <row r="33" customFormat="false" ht="15" hidden="false" customHeight="false" outlineLevel="0" collapsed="false">
      <c r="B33" s="47" t="s">
        <v>124</v>
      </c>
      <c r="C33" s="48" t="n">
        <v>37935167</v>
      </c>
      <c r="D33" s="48" t="n">
        <v>41721844</v>
      </c>
      <c r="E33" s="48" t="n">
        <v>90081387</v>
      </c>
    </row>
    <row r="34" customFormat="false" ht="15" hidden="false" customHeight="false" outlineLevel="0" collapsed="false">
      <c r="B34" s="51" t="s">
        <v>125</v>
      </c>
      <c r="C34" s="52" t="n">
        <v>106471797</v>
      </c>
      <c r="D34" s="52" t="s">
        <v>126</v>
      </c>
      <c r="E34" s="52" t="s">
        <v>126</v>
      </c>
    </row>
    <row r="35" customFormat="false" ht="15" hidden="false" customHeight="false" outlineLevel="0" collapsed="false">
      <c r="B35" s="47" t="s">
        <v>127</v>
      </c>
      <c r="C35" s="48" t="n">
        <v>11092709</v>
      </c>
      <c r="D35" s="48" t="s">
        <v>126</v>
      </c>
      <c r="E35" s="48" t="s">
        <v>126</v>
      </c>
    </row>
    <row r="36" customFormat="false" ht="15" hidden="false" customHeight="false" outlineLevel="0" collapsed="false">
      <c r="B36" s="51" t="s">
        <v>128</v>
      </c>
      <c r="C36" s="52" t="n">
        <v>117564506</v>
      </c>
      <c r="D36" s="52" t="n">
        <v>125191628</v>
      </c>
      <c r="E36" s="52" t="n">
        <v>192483936</v>
      </c>
    </row>
    <row r="37" customFormat="false" ht="15" hidden="false" customHeight="false" outlineLevel="0" collapsed="false">
      <c r="B37" s="51" t="s">
        <v>129</v>
      </c>
      <c r="C37" s="52" t="n">
        <v>772104714</v>
      </c>
      <c r="D37" s="52" t="n">
        <v>987793686</v>
      </c>
      <c r="E37" s="52" t="n">
        <v>1285887481</v>
      </c>
    </row>
    <row r="38" customFormat="false" ht="15" hidden="false" customHeight="false" outlineLevel="0" collapsed="false">
      <c r="B38" s="56"/>
      <c r="C38" s="57"/>
      <c r="D38" s="57"/>
      <c r="E38" s="5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48" width="52"/>
    <col collapsed="false" customWidth="true" hidden="false" outlineLevel="0" max="3" min="3" style="48" width="18.42"/>
    <col collapsed="false" customWidth="true" hidden="false" outlineLevel="0" max="8" min="4" style="48" width="29.71"/>
    <col collapsed="false" customWidth="true" hidden="false" outlineLevel="0" max="9" min="9" style="48" width="10"/>
    <col collapsed="false" customWidth="false" hidden="false" outlineLevel="0" max="16384" min="10" style="1" width="9.14"/>
  </cols>
  <sheetData>
    <row r="1" customFormat="false" ht="32.25" hidden="false" customHeight="true" outlineLevel="0" collapsed="false">
      <c r="A1" s="58"/>
      <c r="B1" s="59" t="s">
        <v>130</v>
      </c>
      <c r="C1" s="60" t="s">
        <v>131</v>
      </c>
      <c r="D1" s="60" t="s">
        <v>132</v>
      </c>
      <c r="E1" s="60" t="s">
        <v>1</v>
      </c>
      <c r="F1" s="60" t="s">
        <v>2</v>
      </c>
      <c r="G1" s="60" t="s">
        <v>3</v>
      </c>
      <c r="H1" s="60" t="s">
        <v>133</v>
      </c>
    </row>
    <row r="2" customFormat="false" ht="15" hidden="false" customHeight="false" outlineLevel="0" collapsed="false">
      <c r="B2" s="48" t="s">
        <v>134</v>
      </c>
      <c r="C2" s="48" t="s">
        <v>135</v>
      </c>
      <c r="D2" s="48" t="n">
        <v>654743</v>
      </c>
      <c r="E2" s="48" t="n">
        <v>707200</v>
      </c>
      <c r="F2" s="48" t="n">
        <v>198680</v>
      </c>
      <c r="G2" s="48" t="n">
        <v>402450</v>
      </c>
      <c r="H2" s="48" t="n">
        <v>334181</v>
      </c>
    </row>
    <row r="3" customFormat="false" ht="15" hidden="false" customHeight="false" outlineLevel="0" collapsed="false">
      <c r="B3" s="48" t="s">
        <v>136</v>
      </c>
      <c r="C3" s="48" t="s">
        <v>135</v>
      </c>
      <c r="D3" s="48" t="n">
        <v>4816967</v>
      </c>
      <c r="E3" s="48" t="n">
        <v>5083693</v>
      </c>
      <c r="F3" s="48" t="n">
        <v>5217524</v>
      </c>
      <c r="G3" s="48" t="n">
        <v>2945667</v>
      </c>
      <c r="H3" s="48" t="n">
        <v>797031</v>
      </c>
    </row>
    <row r="4" customFormat="false" ht="15" hidden="false" customHeight="false" outlineLevel="0" collapsed="false">
      <c r="B4" s="48" t="s">
        <v>137</v>
      </c>
      <c r="D4" s="48" t="n">
        <v>15482845</v>
      </c>
      <c r="E4" s="48" t="n">
        <v>13780190</v>
      </c>
      <c r="F4" s="48" t="s">
        <v>126</v>
      </c>
      <c r="G4" s="48" t="s">
        <v>126</v>
      </c>
      <c r="H4" s="48" t="s">
        <v>126</v>
      </c>
    </row>
    <row r="5" customFormat="false" ht="15" hidden="false" customHeight="false" outlineLevel="0" collapsed="false">
      <c r="B5" s="48" t="s">
        <v>138</v>
      </c>
      <c r="D5" s="48" t="n">
        <v>35084314</v>
      </c>
      <c r="E5" s="48" t="n">
        <v>49933406</v>
      </c>
      <c r="F5" s="48" t="s">
        <v>126</v>
      </c>
      <c r="G5" s="48" t="s">
        <v>126</v>
      </c>
      <c r="H5" s="48" t="s">
        <v>126</v>
      </c>
    </row>
    <row r="6" customFormat="false" ht="15" hidden="false" customHeight="false" outlineLevel="0" collapsed="false">
      <c r="B6" s="48" t="s">
        <v>139</v>
      </c>
      <c r="C6" s="48" t="s">
        <v>135</v>
      </c>
      <c r="D6" s="48" t="s">
        <v>126</v>
      </c>
      <c r="E6" s="48" t="s">
        <v>126</v>
      </c>
      <c r="F6" s="48" t="n">
        <v>19518039</v>
      </c>
      <c r="G6" s="48" t="n">
        <v>32089198</v>
      </c>
      <c r="H6" s="48" t="n">
        <v>28677369</v>
      </c>
    </row>
    <row r="7" customFormat="false" ht="15" hidden="false" customHeight="false" outlineLevel="0" collapsed="false">
      <c r="B7" s="48" t="s">
        <v>138</v>
      </c>
      <c r="C7" s="48" t="s">
        <v>135</v>
      </c>
      <c r="D7" s="48" t="s">
        <v>126</v>
      </c>
      <c r="E7" s="48" t="s">
        <v>126</v>
      </c>
      <c r="F7" s="48" t="n">
        <v>53079451</v>
      </c>
      <c r="G7" s="48" t="n">
        <v>61075388</v>
      </c>
      <c r="H7" s="48" t="n">
        <v>77636426</v>
      </c>
    </row>
    <row r="8" customFormat="false" ht="15" hidden="false" customHeight="false" outlineLevel="0" collapsed="false">
      <c r="B8" s="48" t="s">
        <v>137</v>
      </c>
      <c r="C8" s="48" t="s">
        <v>135</v>
      </c>
      <c r="D8" s="48" t="s">
        <v>126</v>
      </c>
      <c r="E8" s="48" t="s">
        <v>126</v>
      </c>
      <c r="F8" s="48" t="n">
        <v>9714171</v>
      </c>
      <c r="G8" s="48" t="n">
        <v>12214569</v>
      </c>
      <c r="H8" s="48" t="n">
        <v>14417123</v>
      </c>
    </row>
    <row r="9" customFormat="false" ht="15" hidden="false" customHeight="false" outlineLevel="0" collapsed="false">
      <c r="B9" s="61" t="s">
        <v>140</v>
      </c>
      <c r="C9" s="61"/>
      <c r="D9" s="61" t="s">
        <v>126</v>
      </c>
      <c r="E9" s="61" t="s">
        <v>126</v>
      </c>
      <c r="F9" s="61" t="n">
        <v>8708281</v>
      </c>
      <c r="G9" s="61" t="n">
        <v>10281500</v>
      </c>
      <c r="H9" s="61" t="n">
        <v>17634620</v>
      </c>
    </row>
    <row r="10" customFormat="false" ht="15" hidden="false" customHeight="false" outlineLevel="0" collapsed="false">
      <c r="B10" s="61" t="s">
        <v>141</v>
      </c>
      <c r="C10" s="61"/>
      <c r="D10" s="61" t="s">
        <v>126</v>
      </c>
      <c r="E10" s="61" t="s">
        <v>126</v>
      </c>
      <c r="F10" s="61" t="n">
        <v>3300969</v>
      </c>
      <c r="G10" s="61" t="n">
        <v>7736880</v>
      </c>
      <c r="H10" s="61" t="n">
        <v>23022937</v>
      </c>
    </row>
    <row r="11" customFormat="false" ht="15" hidden="false" customHeight="false" outlineLevel="0" collapsed="false">
      <c r="B11" s="61" t="s">
        <v>142</v>
      </c>
      <c r="C11" s="61"/>
      <c r="D11" s="61" t="s">
        <v>126</v>
      </c>
      <c r="E11" s="61" t="s">
        <v>126</v>
      </c>
      <c r="F11" s="61" t="n">
        <v>8947235</v>
      </c>
      <c r="G11" s="61" t="n">
        <v>12772095</v>
      </c>
      <c r="H11" s="61" t="n">
        <v>18851889</v>
      </c>
    </row>
    <row r="12" customFormat="false" ht="15" hidden="false" customHeight="false" outlineLevel="0" collapsed="false">
      <c r="B12" s="61" t="s">
        <v>143</v>
      </c>
      <c r="C12" s="61"/>
      <c r="D12" s="61" t="s">
        <v>126</v>
      </c>
      <c r="E12" s="61" t="s">
        <v>126</v>
      </c>
      <c r="F12" s="61" t="n">
        <v>17983227</v>
      </c>
      <c r="G12" s="61" t="n">
        <v>23088572</v>
      </c>
      <c r="H12" s="61" t="n">
        <v>29800488</v>
      </c>
    </row>
    <row r="13" customFormat="false" ht="15" hidden="false" customHeight="false" outlineLevel="0" collapsed="false">
      <c r="B13" s="61" t="s">
        <v>144</v>
      </c>
      <c r="C13" s="61"/>
      <c r="D13" s="61" t="n">
        <v>18213835</v>
      </c>
      <c r="E13" s="61" t="n">
        <v>21330773</v>
      </c>
      <c r="F13" s="61" t="s">
        <v>126</v>
      </c>
      <c r="G13" s="61" t="s">
        <v>126</v>
      </c>
      <c r="H13" s="61" t="s">
        <v>126</v>
      </c>
    </row>
    <row r="14" customFormat="false" ht="15" hidden="false" customHeight="false" outlineLevel="0" collapsed="false">
      <c r="B14" s="61" t="s">
        <v>145</v>
      </c>
      <c r="C14" s="61"/>
      <c r="D14" s="61" t="n">
        <v>2292767</v>
      </c>
      <c r="E14" s="61" t="n">
        <v>1501421</v>
      </c>
      <c r="F14" s="61" t="s">
        <v>126</v>
      </c>
      <c r="G14" s="61" t="s">
        <v>126</v>
      </c>
      <c r="H14" s="61" t="s">
        <v>126</v>
      </c>
    </row>
    <row r="15" customFormat="false" ht="15" hidden="false" customHeight="false" outlineLevel="0" collapsed="false">
      <c r="B15" s="61" t="s">
        <v>146</v>
      </c>
      <c r="C15" s="61"/>
      <c r="D15" s="61" t="n">
        <v>548905</v>
      </c>
      <c r="E15" s="61" t="n">
        <v>602249</v>
      </c>
      <c r="F15" s="61" t="s">
        <v>126</v>
      </c>
      <c r="G15" s="61" t="s">
        <v>126</v>
      </c>
      <c r="H15" s="61" t="s">
        <v>126</v>
      </c>
    </row>
    <row r="16" customFormat="false" ht="15" hidden="false" customHeight="false" outlineLevel="0" collapsed="false">
      <c r="B16" s="61" t="s">
        <v>147</v>
      </c>
      <c r="C16" s="61"/>
      <c r="D16" s="61" t="n">
        <v>2612819</v>
      </c>
      <c r="E16" s="61" t="n">
        <v>4698635</v>
      </c>
      <c r="F16" s="61" t="n">
        <v>6782285</v>
      </c>
      <c r="G16" s="61" t="n">
        <v>13079056</v>
      </c>
      <c r="H16" s="61" t="n">
        <v>17695109</v>
      </c>
    </row>
    <row r="17" customFormat="false" ht="15" hidden="false" customHeight="false" outlineLevel="0" collapsed="false">
      <c r="B17" s="52" t="s">
        <v>148</v>
      </c>
      <c r="C17" s="52"/>
      <c r="D17" s="52" t="n">
        <f aca="false">SUM(D2:D16)</f>
        <v>79707195</v>
      </c>
      <c r="E17" s="52" t="n">
        <f aca="false">SUM(E2:E16)</f>
        <v>97637567</v>
      </c>
      <c r="F17" s="52" t="n">
        <f aca="false">SUM(F2:F16)</f>
        <v>133449862</v>
      </c>
      <c r="G17" s="52" t="n">
        <f aca="false">SUM(G2:G16)</f>
        <v>175685375</v>
      </c>
      <c r="H17" s="52" t="n">
        <f aca="false">SUM(H2:H16)</f>
        <v>228867173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9"/>
    <col collapsed="false" customWidth="true" hidden="false" outlineLevel="0" max="3" min="3" style="0" width="14.14"/>
    <col collapsed="false" customWidth="true" hidden="false" outlineLevel="0" max="7" min="7" style="0" width="13"/>
  </cols>
  <sheetData>
    <row r="1" customFormat="false" ht="16.5" hidden="false" customHeight="true" outlineLevel="0" collapsed="false">
      <c r="A1" s="62" t="s">
        <v>149</v>
      </c>
      <c r="B1" s="63" t="s">
        <v>150</v>
      </c>
      <c r="C1" s="63" t="s">
        <v>151</v>
      </c>
    </row>
    <row r="2" customFormat="false" ht="15" hidden="false" customHeight="false" outlineLevel="0" collapsed="false">
      <c r="A2" s="64" t="s">
        <v>152</v>
      </c>
      <c r="B2" s="65" t="n">
        <v>414683000000</v>
      </c>
      <c r="C2" s="66" t="n">
        <v>43.1</v>
      </c>
    </row>
    <row r="3" customFormat="false" ht="15" hidden="false" customHeight="false" outlineLevel="0" collapsed="false">
      <c r="A3" s="64" t="s">
        <v>153</v>
      </c>
      <c r="B3" s="65" t="n">
        <v>189848000000</v>
      </c>
      <c r="C3" s="66" t="n">
        <v>19.7</v>
      </c>
    </row>
    <row r="4" customFormat="false" ht="15" hidden="false" customHeight="false" outlineLevel="0" collapsed="false">
      <c r="A4" s="64" t="s">
        <v>154</v>
      </c>
      <c r="B4" s="65" t="n">
        <v>37638000000</v>
      </c>
      <c r="C4" s="66" t="n">
        <v>3.9</v>
      </c>
    </row>
    <row r="5" customFormat="false" ht="15" hidden="false" customHeight="false" outlineLevel="0" collapsed="false">
      <c r="A5" s="64" t="s">
        <v>155</v>
      </c>
      <c r="B5" s="65" t="n">
        <v>20881000000</v>
      </c>
      <c r="C5" s="66" t="n">
        <v>2.1</v>
      </c>
    </row>
    <row r="6" customFormat="false" ht="15" hidden="false" customHeight="false" outlineLevel="0" collapsed="false">
      <c r="A6" s="64" t="s">
        <v>156</v>
      </c>
      <c r="B6" s="65" t="n">
        <v>11036000000</v>
      </c>
      <c r="C6" s="66" t="n">
        <v>1.1</v>
      </c>
    </row>
    <row r="7" customFormat="false" ht="15" hidden="false" customHeight="false" outlineLevel="0" collapsed="false">
      <c r="A7" s="64" t="s">
        <v>157</v>
      </c>
      <c r="B7" s="65" t="n">
        <v>10646000000</v>
      </c>
      <c r="C7" s="66" t="n">
        <v>1.1</v>
      </c>
    </row>
    <row r="8" customFormat="false" ht="15" hidden="false" customHeight="false" outlineLevel="0" collapsed="false">
      <c r="A8" s="64" t="s">
        <v>158</v>
      </c>
      <c r="B8" s="65" t="n">
        <f aca="false">B9-SUBTOTAL(109,B2:B7)</f>
        <v>277409531322.506</v>
      </c>
      <c r="C8" s="66" t="n">
        <f aca="false">100-SUBTOTAL(109,C2:C7)</f>
        <v>29</v>
      </c>
    </row>
    <row r="9" customFormat="false" ht="15" hidden="false" customHeight="false" outlineLevel="0" collapsed="false">
      <c r="A9" s="66"/>
      <c r="B9" s="65" t="n">
        <f aca="false">B2/C2*100</f>
        <v>962141531322.506</v>
      </c>
      <c r="C9" s="66" t="s">
        <v>159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a.gh</dc:creator>
  <dc:description/>
  <dc:language>en-US</dc:language>
  <cp:lastModifiedBy>A.Gh</cp:lastModifiedBy>
  <dcterms:modified xsi:type="dcterms:W3CDTF">2026-09-28T19:02:25Z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